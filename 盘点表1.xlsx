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20" windowHeight="13980"/>
  </bookViews>
  <sheets>
    <sheet name="肠" sheetId="1" r:id="rId1"/>
    <sheet name="面食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<sst xmlns="http://schemas.openxmlformats.org/spreadsheetml/2006/main" count="298" uniqueCount="146">
  <si>
    <t>商品名称</t>
  </si>
  <si>
    <t>规格</t>
  </si>
  <si>
    <t>价格（件）</t>
  </si>
  <si>
    <t>价格（个）</t>
  </si>
  <si>
    <t>一整件</t>
  </si>
  <si>
    <t>价格</t>
  </si>
  <si>
    <t>一包</t>
  </si>
  <si>
    <t>膳食专用熏料</t>
  </si>
  <si>
    <t/>
  </si>
  <si>
    <t>膳食肠海苔</t>
  </si>
  <si>
    <t>1*20斤</t>
  </si>
  <si>
    <t>膳食肠原味</t>
  </si>
  <si>
    <t>真程运嘉（原味）</t>
  </si>
  <si>
    <t>20根*4包</t>
  </si>
  <si>
    <t>真程运嘉（黑胡椒）</t>
  </si>
  <si>
    <t>真程运嘉（脆骨藤椒味）</t>
  </si>
  <si>
    <t>真程运嘉（蒜香味）</t>
  </si>
  <si>
    <t>真程运嘉（孜然味）</t>
  </si>
  <si>
    <t>真程运嘉（黑鸭）</t>
  </si>
  <si>
    <t>全家福</t>
  </si>
  <si>
    <t>4袋/件</t>
  </si>
  <si>
    <t>兴威肉枣肠（黑胡椒）</t>
  </si>
  <si>
    <t>3.75kg*4包</t>
  </si>
  <si>
    <t>兴威肉枣肠（甜肠）</t>
  </si>
  <si>
    <t>鹅肝肠</t>
  </si>
  <si>
    <t>4袋*3.6kg</t>
  </si>
  <si>
    <t>蟹黄卤肉肠</t>
  </si>
  <si>
    <t>2.5kg*4</t>
  </si>
  <si>
    <t>膳食卤肉肠</t>
  </si>
  <si>
    <t>台湾小枣肠</t>
  </si>
  <si>
    <t>1*25斤</t>
  </si>
  <si>
    <t>一斤</t>
  </si>
  <si>
    <t>香辣味(漳州）</t>
  </si>
  <si>
    <t>180G*20根*4包</t>
  </si>
  <si>
    <t>俄罗斯老式火腿</t>
  </si>
  <si>
    <t>1*25对</t>
  </si>
  <si>
    <t>香辣味（漳州）</t>
  </si>
  <si>
    <t>410</t>
  </si>
  <si>
    <t>肉粉肠</t>
  </si>
  <si>
    <t>1*30斤</t>
  </si>
  <si>
    <t>米肠</t>
  </si>
  <si>
    <t>1*40斤</t>
  </si>
  <si>
    <t>火山石</t>
  </si>
  <si>
    <t>1*4包*50根</t>
  </si>
  <si>
    <t>海苔肉滑浆2.5kg</t>
  </si>
  <si>
    <t>虾滑浆2.5kg</t>
  </si>
  <si>
    <t>四川麻辣香肠</t>
  </si>
  <si>
    <t>1箱*6根*25包</t>
  </si>
  <si>
    <t>哈尔滨红肠（儿童肠）</t>
  </si>
  <si>
    <t>黑椒肠（卤肉肠）</t>
  </si>
  <si>
    <t>3.6kg*4袋</t>
  </si>
  <si>
    <t>酒香肠（卤肉肠）</t>
  </si>
  <si>
    <t>黑椒肠（辽宁卤肉肠）</t>
  </si>
  <si>
    <t>老北京白蒜肠</t>
  </si>
  <si>
    <t>1箱*5包*15根</t>
  </si>
  <si>
    <t>肉花肠</t>
  </si>
  <si>
    <t>原味（漳州）</t>
  </si>
  <si>
    <t>蒜香（漳州）</t>
  </si>
  <si>
    <t>孜然（漳州）</t>
  </si>
  <si>
    <t>辣条味（漳州）</t>
  </si>
  <si>
    <t>熏肉味（漳州）</t>
  </si>
  <si>
    <t>双汇原味（吾悦）</t>
  </si>
  <si>
    <t>1*2袋*30根</t>
  </si>
  <si>
    <t>双汇黑胡椒（吾悦）</t>
  </si>
  <si>
    <t>双汇蒜香（吾悦）</t>
  </si>
  <si>
    <t>塞维午餐肉肠</t>
  </si>
  <si>
    <t>双汇椒麻味（吾悦）</t>
  </si>
  <si>
    <t>双汇荆芥味（吾悦）</t>
  </si>
  <si>
    <t>牛肉（那氏）</t>
  </si>
  <si>
    <t>1*20*4</t>
  </si>
  <si>
    <t>排骨香肠（那氏）</t>
  </si>
  <si>
    <t>农家乐粉肠（熏味）（那氏）</t>
  </si>
  <si>
    <t>1*24斤*1根</t>
  </si>
  <si>
    <t>台湾风味肉枣肠（那氏）</t>
  </si>
  <si>
    <t>肉肚</t>
  </si>
  <si>
    <t>1*40个</t>
  </si>
  <si>
    <t>四川腊肠（麻辣）</t>
  </si>
  <si>
    <t>四川腊肠（原味）</t>
  </si>
  <si>
    <t>风干“原味风干肠”（东风）</t>
  </si>
  <si>
    <t>1*17根*5包</t>
  </si>
  <si>
    <t>（那氏）玉米肠</t>
  </si>
  <si>
    <t>1*20根*4包</t>
  </si>
  <si>
    <t>玉米味（漳州）</t>
  </si>
  <si>
    <t>俄罗斯风味肠</t>
  </si>
  <si>
    <t>金丝肉卷</t>
  </si>
  <si>
    <t>1*10斤✖ 4袋</t>
  </si>
  <si>
    <t>黑胡椒（漳州）</t>
  </si>
  <si>
    <t>大香肠（东风）</t>
  </si>
  <si>
    <t>1*18根</t>
  </si>
  <si>
    <t>黑鸭（漳州）</t>
  </si>
  <si>
    <t>藤椒脆骨（漳州）</t>
  </si>
  <si>
    <t>手工腊肠（中式香肠）（腊肠）</t>
  </si>
  <si>
    <t>1*20包</t>
  </si>
  <si>
    <t>五香香肠(绿贴标)/风干大（腊肠）</t>
  </si>
  <si>
    <t>1*5根*20包</t>
  </si>
  <si>
    <t>塞维红肠</t>
  </si>
  <si>
    <t>1组*2箱*10对</t>
  </si>
  <si>
    <t>一队</t>
  </si>
  <si>
    <t>鱼籽味（天清）</t>
  </si>
  <si>
    <t>1*4包*14根</t>
  </si>
  <si>
    <t>牛肉味（漳州）</t>
  </si>
  <si>
    <t>塞维甜玉米</t>
  </si>
  <si>
    <t>花瓣甜肠（猪肉）</t>
  </si>
  <si>
    <t>1*4包*5斤</t>
  </si>
  <si>
    <t>花瓣甜肠（天清）</t>
  </si>
  <si>
    <t>花瓣甜肠（那氏）</t>
  </si>
  <si>
    <t>1*3包*10斤</t>
  </si>
  <si>
    <t>香酥肉卷（天清）</t>
  </si>
  <si>
    <t>1*4包*12根</t>
  </si>
  <si>
    <t>带筋牛肉（东风）</t>
  </si>
  <si>
    <t>1*42根</t>
  </si>
  <si>
    <t>原味风干肠</t>
  </si>
  <si>
    <t>1*5包</t>
  </si>
  <si>
    <t>墨鱼肠</t>
  </si>
  <si>
    <t>原味（御味香）</t>
  </si>
  <si>
    <t>烤肠胡椒</t>
  </si>
  <si>
    <t>1*4包</t>
  </si>
  <si>
    <t>烤肠原味</t>
  </si>
  <si>
    <t>霸道原味</t>
  </si>
  <si>
    <t>霸道黑胡椒</t>
  </si>
  <si>
    <t>大盘肠</t>
  </si>
  <si>
    <t>1*2包</t>
  </si>
  <si>
    <t>粗腊肠</t>
  </si>
  <si>
    <t>细腊肠</t>
  </si>
  <si>
    <t>绿豆栗子饼（40克）</t>
  </si>
  <si>
    <t>250个/箱</t>
  </si>
  <si>
    <t>玫瑰</t>
  </si>
  <si>
    <t>苏子</t>
  </si>
  <si>
    <t>椒盐饼</t>
  </si>
  <si>
    <t>绿豆</t>
  </si>
  <si>
    <t>红豆</t>
  </si>
  <si>
    <t>椰香</t>
  </si>
  <si>
    <t>花生</t>
  </si>
  <si>
    <t>金丝枣泥</t>
  </si>
  <si>
    <t>黑芝麻</t>
  </si>
  <si>
    <t>五仁</t>
  </si>
  <si>
    <t>板栗甜</t>
  </si>
  <si>
    <t>板栗咸</t>
  </si>
  <si>
    <t>牛舌(经典椒盐)</t>
  </si>
  <si>
    <t>260个/箱</t>
  </si>
  <si>
    <t>数量</t>
  </si>
  <si>
    <t>单位</t>
  </si>
  <si>
    <t>箱</t>
  </si>
  <si>
    <t>个</t>
  </si>
  <si>
    <t>板栗甜（栗子肉)</t>
  </si>
  <si>
    <t>板栗咸(栗子肉)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</si>
</sst>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A9A9A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Fill="1" applyBorder="1" applyAlignment="1"/>
    <xf numFmtId="0" fontId="1" fillId="0" borderId="0" xfId="0" applyFont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0" xfId="0" applyFill="1" applyAlignment="1">
      <alignment horizontal="right"/>
    </xf>
    <xf numFmtId="0" fontId="4" fillId="0" borderId="0" xfId="0" applyFont="1" applyFill="1"/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/>
    <xf numFmtId="0" fontId="0" fillId="6" borderId="1" xfId="0" applyFill="1" applyBorder="1"/>
    <xf numFmtId="0" fontId="3" fillId="0" borderId="2" xfId="0" applyFont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0" fontId="2" fillId="0" borderId="1" xfId="0" applyFont="1" applyFill="1" applyBorder="1" applyAlignment="1"/>
    <xf numFmtId="0" fontId="7" fillId="6" borderId="1" xfId="0" applyFont="1" applyFill="1" applyBorder="1" applyAlignment="1">
      <alignment horizontal="left"/>
    </xf>
    <xf numFmtId="0" fontId="0" fillId="0" borderId="1" xfId="0" applyFont="1" applyFill="1" applyBorder="1" applyAlignment="1"/>
    <xf numFmtId="0" fontId="0" fillId="4" borderId="1" xfId="0" applyFill="1" applyBorder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/>
    <xf numFmtId="0" fontId="0" fillId="0" borderId="0" xfId="0" applyFont="1" applyFill="1" applyAlignment="1"/>
    <xf numFmtId="0" fontId="0" fillId="5" borderId="1" xfId="0" applyFill="1" applyBorder="1"/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/>
    <xf numFmtId="0" fontId="0" fillId="0" borderId="1" xfId="0" applyFill="1" applyBorder="1" applyAlignment="1"/>
    <xf numFmtId="0" fontId="8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100000"/>
                <a:tint val="100000"/>
              </a:schemeClr>
            </a:gs>
            <a:gs pos="100000">
              <a:schemeClr val="phClr">
                <a:satMod val="350000"/>
                <a:shade val="100000"/>
                <a:tint val="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8"/>
  <sheetViews>
    <sheetView tabSelected="1" zoomScale="85" zoomScaleNormal="85" workbookViewId="0">
      <pane ySplit="1" topLeftCell="A62" activePane="bottomLeft" state="frozen"/>
      <selection/>
      <selection pane="bottomLeft" activeCell="D96" sqref="D96"/>
    </sheetView>
  </sheetViews>
  <sheetFormatPr defaultColWidth="9" defaultRowHeight="16.8"/>
  <cols>
    <col min="1" max="1" width="26.4807692307692" customWidth="1"/>
    <col min="2" max="2" width="19.7884615384615" customWidth="1"/>
    <col min="3" max="3" width="29.0288461538462" style="9" customWidth="1"/>
    <col min="4" max="4" width="19.2211538461538" style="10" customWidth="1"/>
    <col min="5" max="5" width="6.35576923076923" customWidth="1"/>
    <col min="6" max="6" width="11.6153846153846" style="11" customWidth="1"/>
    <col min="7" max="7" width="13.3076923076923" style="12" customWidth="1"/>
    <col min="8" max="8" width="11.0576923076923" style="7" customWidth="1"/>
    <col min="9" max="9" width="11.4711538461538" style="12" customWidth="1"/>
  </cols>
  <sheetData>
    <row r="1" s="6" customFormat="1" ht="17.6" spans="1:9">
      <c r="A1" s="1" t="s">
        <v>0</v>
      </c>
      <c r="B1" s="1" t="s">
        <v>1</v>
      </c>
      <c r="C1" s="13" t="s">
        <v>2</v>
      </c>
      <c r="D1" s="14" t="s">
        <v>3</v>
      </c>
      <c r="E1" s="15"/>
      <c r="F1" s="16" t="s">
        <v>4</v>
      </c>
      <c r="G1" s="17" t="s">
        <v>5</v>
      </c>
      <c r="H1" s="18" t="s">
        <v>6</v>
      </c>
      <c r="I1" s="19" t="s">
        <v>5</v>
      </c>
    </row>
    <row r="2" spans="1:9">
      <c r="A2" s="4" t="s">
        <v>7</v>
      </c>
      <c r="B2" s="4" t="s">
        <v>8</v>
      </c>
      <c r="C2" s="20"/>
      <c r="D2" s="21"/>
      <c r="E2" s="22"/>
      <c r="F2" s="23"/>
      <c r="G2" s="24">
        <f>F2*C2</f>
        <v>0</v>
      </c>
      <c r="H2" s="23"/>
      <c r="I2" s="24">
        <f>H2*D2</f>
        <v>0</v>
      </c>
    </row>
    <row r="3" spans="1:9">
      <c r="A3" s="4" t="s">
        <v>9</v>
      </c>
      <c r="B3" s="25" t="s">
        <v>10</v>
      </c>
      <c r="C3" s="26"/>
      <c r="D3" s="27"/>
      <c r="E3" s="28"/>
      <c r="F3" s="23"/>
      <c r="G3" s="24">
        <f t="shared" ref="G3:G34" si="0">F3*C3</f>
        <v>0</v>
      </c>
      <c r="H3" s="23"/>
      <c r="I3" s="24">
        <f t="shared" ref="I3:I34" si="1">H3*D3</f>
        <v>0</v>
      </c>
    </row>
    <row r="4" spans="1:9">
      <c r="A4" s="4" t="s">
        <v>11</v>
      </c>
      <c r="B4" s="25" t="s">
        <v>10</v>
      </c>
      <c r="C4" s="26"/>
      <c r="D4" s="27"/>
      <c r="E4" s="28"/>
      <c r="F4" s="23"/>
      <c r="G4" s="24">
        <f t="shared" si="0"/>
        <v>0</v>
      </c>
      <c r="H4" s="23"/>
      <c r="I4" s="24">
        <f t="shared" si="1"/>
        <v>0</v>
      </c>
    </row>
    <row r="5" spans="1:9">
      <c r="A5" s="4" t="s">
        <v>12</v>
      </c>
      <c r="B5" s="4" t="s">
        <v>13</v>
      </c>
      <c r="C5" s="20">
        <v>410</v>
      </c>
      <c r="D5" s="21">
        <f t="shared" ref="D5:D10" si="2">C5/4</f>
        <v>102.5</v>
      </c>
      <c r="E5" s="22" t="s">
        <v>6</v>
      </c>
      <c r="F5" s="23"/>
      <c r="G5" s="24">
        <f t="shared" si="0"/>
        <v>0</v>
      </c>
      <c r="H5" s="23"/>
      <c r="I5" s="24">
        <f t="shared" si="1"/>
        <v>0</v>
      </c>
    </row>
    <row r="6" spans="1:9">
      <c r="A6" s="4" t="s">
        <v>14</v>
      </c>
      <c r="B6" s="4" t="s">
        <v>13</v>
      </c>
      <c r="C6" s="20">
        <v>410</v>
      </c>
      <c r="D6" s="21">
        <f t="shared" si="2"/>
        <v>102.5</v>
      </c>
      <c r="E6" s="22" t="s">
        <v>6</v>
      </c>
      <c r="F6" s="23"/>
      <c r="G6" s="24">
        <f t="shared" si="0"/>
        <v>0</v>
      </c>
      <c r="H6" s="23"/>
      <c r="I6" s="24">
        <f t="shared" si="1"/>
        <v>0</v>
      </c>
    </row>
    <row r="7" spans="1:9">
      <c r="A7" s="4" t="s">
        <v>15</v>
      </c>
      <c r="B7" s="4" t="s">
        <v>13</v>
      </c>
      <c r="C7" s="20">
        <v>410</v>
      </c>
      <c r="D7" s="21">
        <f t="shared" si="2"/>
        <v>102.5</v>
      </c>
      <c r="E7" s="22" t="s">
        <v>6</v>
      </c>
      <c r="F7" s="23"/>
      <c r="G7" s="24">
        <f t="shared" si="0"/>
        <v>0</v>
      </c>
      <c r="H7" s="23"/>
      <c r="I7" s="24">
        <f t="shared" si="1"/>
        <v>0</v>
      </c>
    </row>
    <row r="8" spans="1:9">
      <c r="A8" s="4" t="s">
        <v>16</v>
      </c>
      <c r="B8" s="4" t="s">
        <v>13</v>
      </c>
      <c r="C8" s="20">
        <v>410</v>
      </c>
      <c r="D8" s="21">
        <f t="shared" si="2"/>
        <v>102.5</v>
      </c>
      <c r="E8" s="22" t="s">
        <v>6</v>
      </c>
      <c r="F8" s="23"/>
      <c r="G8" s="24">
        <f t="shared" si="0"/>
        <v>0</v>
      </c>
      <c r="H8" s="23"/>
      <c r="I8" s="24">
        <f t="shared" si="1"/>
        <v>0</v>
      </c>
    </row>
    <row r="9" spans="1:9">
      <c r="A9" s="4" t="s">
        <v>17</v>
      </c>
      <c r="B9" s="4" t="s">
        <v>13</v>
      </c>
      <c r="C9" s="20">
        <v>410</v>
      </c>
      <c r="D9" s="21">
        <f t="shared" si="2"/>
        <v>102.5</v>
      </c>
      <c r="E9" s="22" t="s">
        <v>6</v>
      </c>
      <c r="F9" s="23"/>
      <c r="G9" s="24">
        <f t="shared" si="0"/>
        <v>0</v>
      </c>
      <c r="H9" s="23"/>
      <c r="I9" s="24">
        <f t="shared" si="1"/>
        <v>0</v>
      </c>
    </row>
    <row r="10" spans="1:9">
      <c r="A10" s="4" t="s">
        <v>18</v>
      </c>
      <c r="B10" s="4" t="s">
        <v>13</v>
      </c>
      <c r="C10" s="20">
        <v>410</v>
      </c>
      <c r="D10" s="21">
        <f t="shared" si="2"/>
        <v>102.5</v>
      </c>
      <c r="E10" s="22" t="s">
        <v>6</v>
      </c>
      <c r="F10" s="23"/>
      <c r="G10" s="24">
        <f t="shared" si="0"/>
        <v>0</v>
      </c>
      <c r="H10" s="23"/>
      <c r="I10" s="24">
        <f t="shared" si="1"/>
        <v>0</v>
      </c>
    </row>
    <row r="11" spans="1:9">
      <c r="A11" s="4" t="s">
        <v>19</v>
      </c>
      <c r="B11" s="4" t="s">
        <v>20</v>
      </c>
      <c r="C11" s="20"/>
      <c r="D11" s="21"/>
      <c r="E11" s="22"/>
      <c r="F11" s="23"/>
      <c r="G11" s="24">
        <f t="shared" si="0"/>
        <v>0</v>
      </c>
      <c r="H11" s="23"/>
      <c r="I11" s="24">
        <f t="shared" si="1"/>
        <v>0</v>
      </c>
    </row>
    <row r="12" spans="1:9">
      <c r="A12" s="4" t="s">
        <v>21</v>
      </c>
      <c r="B12" s="29" t="s">
        <v>22</v>
      </c>
      <c r="C12" s="30">
        <v>410</v>
      </c>
      <c r="D12" s="21">
        <f>C12/4</f>
        <v>102.5</v>
      </c>
      <c r="E12" s="22" t="s">
        <v>6</v>
      </c>
      <c r="F12" s="23"/>
      <c r="G12" s="24">
        <f t="shared" si="0"/>
        <v>0</v>
      </c>
      <c r="H12" s="23"/>
      <c r="I12" s="24">
        <f t="shared" si="1"/>
        <v>0</v>
      </c>
    </row>
    <row r="13" spans="1:9">
      <c r="A13" s="4" t="s">
        <v>23</v>
      </c>
      <c r="B13" s="29" t="s">
        <v>22</v>
      </c>
      <c r="C13" s="30">
        <v>410</v>
      </c>
      <c r="D13" s="21">
        <f>C13/4</f>
        <v>102.5</v>
      </c>
      <c r="E13" s="22" t="s">
        <v>6</v>
      </c>
      <c r="F13" s="23"/>
      <c r="G13" s="24">
        <f t="shared" si="0"/>
        <v>0</v>
      </c>
      <c r="H13" s="23"/>
      <c r="I13" s="24">
        <f t="shared" si="1"/>
        <v>0</v>
      </c>
    </row>
    <row r="14" spans="1:9">
      <c r="A14" s="4" t="s">
        <v>24</v>
      </c>
      <c r="B14" s="4" t="s">
        <v>25</v>
      </c>
      <c r="C14" s="20"/>
      <c r="D14" s="21"/>
      <c r="E14" s="22"/>
      <c r="F14" s="23"/>
      <c r="G14" s="24">
        <f t="shared" si="0"/>
        <v>0</v>
      </c>
      <c r="H14" s="23"/>
      <c r="I14" s="24">
        <f t="shared" si="1"/>
        <v>0</v>
      </c>
    </row>
    <row r="15" spans="1:9">
      <c r="A15" s="4" t="s">
        <v>26</v>
      </c>
      <c r="B15" s="4" t="s">
        <v>27</v>
      </c>
      <c r="C15" s="20">
        <v>410</v>
      </c>
      <c r="D15" s="21">
        <f>C15/4</f>
        <v>102.5</v>
      </c>
      <c r="E15" s="22" t="s">
        <v>6</v>
      </c>
      <c r="F15" s="23"/>
      <c r="G15" s="24">
        <f t="shared" si="0"/>
        <v>0</v>
      </c>
      <c r="H15" s="23"/>
      <c r="I15" s="24">
        <f t="shared" si="1"/>
        <v>0</v>
      </c>
    </row>
    <row r="16" spans="1:9">
      <c r="A16" s="4" t="s">
        <v>28</v>
      </c>
      <c r="B16" s="4" t="s">
        <v>27</v>
      </c>
      <c r="C16" s="20"/>
      <c r="D16" s="21"/>
      <c r="E16" s="22"/>
      <c r="F16" s="23"/>
      <c r="G16" s="24">
        <f t="shared" si="0"/>
        <v>0</v>
      </c>
      <c r="H16" s="23"/>
      <c r="I16" s="24">
        <f t="shared" si="1"/>
        <v>0</v>
      </c>
    </row>
    <row r="17" spans="1:9">
      <c r="A17" s="4" t="s">
        <v>29</v>
      </c>
      <c r="B17" s="4" t="s">
        <v>30</v>
      </c>
      <c r="C17" s="20">
        <v>335</v>
      </c>
      <c r="D17" s="21">
        <f>C17/25</f>
        <v>13.4</v>
      </c>
      <c r="E17" s="22" t="s">
        <v>31</v>
      </c>
      <c r="F17" s="23"/>
      <c r="G17" s="24">
        <f t="shared" si="0"/>
        <v>0</v>
      </c>
      <c r="H17" s="23"/>
      <c r="I17" s="24">
        <f t="shared" si="1"/>
        <v>0</v>
      </c>
    </row>
    <row r="18" spans="1:9">
      <c r="A18" s="4" t="s">
        <v>32</v>
      </c>
      <c r="B18" s="4" t="s">
        <v>33</v>
      </c>
      <c r="C18" s="20">
        <v>410</v>
      </c>
      <c r="D18" s="21">
        <v>102.5</v>
      </c>
      <c r="E18" s="22" t="s">
        <v>6</v>
      </c>
      <c r="F18" s="23"/>
      <c r="G18" s="24">
        <f t="shared" si="0"/>
        <v>0</v>
      </c>
      <c r="H18" s="23"/>
      <c r="I18" s="24">
        <f t="shared" si="1"/>
        <v>0</v>
      </c>
    </row>
    <row r="19" spans="1:9">
      <c r="A19" s="4" t="s">
        <v>34</v>
      </c>
      <c r="B19" s="4" t="s">
        <v>35</v>
      </c>
      <c r="C19" s="20"/>
      <c r="D19" s="21"/>
      <c r="E19" s="22"/>
      <c r="F19" s="23"/>
      <c r="G19" s="24">
        <f t="shared" si="0"/>
        <v>0</v>
      </c>
      <c r="H19" s="23"/>
      <c r="I19" s="24">
        <f t="shared" si="1"/>
        <v>0</v>
      </c>
    </row>
    <row r="20" spans="1:9">
      <c r="A20" s="4" t="s">
        <v>36</v>
      </c>
      <c r="B20" s="4" t="s">
        <v>33</v>
      </c>
      <c r="C20" s="20" t="s">
        <v>37</v>
      </c>
      <c r="D20" s="21">
        <v>102.5</v>
      </c>
      <c r="E20" s="22" t="s">
        <v>6</v>
      </c>
      <c r="F20" s="23"/>
      <c r="G20" s="24">
        <f t="shared" si="0"/>
        <v>0</v>
      </c>
      <c r="H20" s="23"/>
      <c r="I20" s="24">
        <f t="shared" si="1"/>
        <v>0</v>
      </c>
    </row>
    <row r="21" spans="1:9">
      <c r="A21" s="4" t="s">
        <v>38</v>
      </c>
      <c r="B21" s="4" t="s">
        <v>39</v>
      </c>
      <c r="C21" s="20"/>
      <c r="D21" s="21"/>
      <c r="E21" s="22"/>
      <c r="F21" s="23"/>
      <c r="G21" s="24">
        <f t="shared" si="0"/>
        <v>0</v>
      </c>
      <c r="H21" s="23"/>
      <c r="I21" s="24">
        <f t="shared" si="1"/>
        <v>0</v>
      </c>
    </row>
    <row r="22" spans="1:9">
      <c r="A22" s="4" t="s">
        <v>40</v>
      </c>
      <c r="B22" s="4" t="s">
        <v>41</v>
      </c>
      <c r="C22" s="20"/>
      <c r="D22" s="21"/>
      <c r="E22" s="22"/>
      <c r="F22" s="23"/>
      <c r="G22" s="24">
        <f t="shared" si="0"/>
        <v>0</v>
      </c>
      <c r="H22" s="23"/>
      <c r="I22" s="24">
        <f t="shared" si="1"/>
        <v>0</v>
      </c>
    </row>
    <row r="23" spans="1:9">
      <c r="A23" s="4" t="s">
        <v>42</v>
      </c>
      <c r="B23" s="4" t="s">
        <v>43</v>
      </c>
      <c r="C23" s="20"/>
      <c r="D23" s="21"/>
      <c r="E23" s="22"/>
      <c r="F23" s="23"/>
      <c r="G23" s="24">
        <f t="shared" si="0"/>
        <v>0</v>
      </c>
      <c r="H23" s="23"/>
      <c r="I23" s="24">
        <f t="shared" si="1"/>
        <v>0</v>
      </c>
    </row>
    <row r="24" spans="1:9">
      <c r="A24" s="4" t="s">
        <v>44</v>
      </c>
      <c r="B24" s="4" t="s">
        <v>10</v>
      </c>
      <c r="C24" s="20"/>
      <c r="D24" s="21"/>
      <c r="E24" s="22"/>
      <c r="F24" s="23"/>
      <c r="G24" s="24">
        <f t="shared" si="0"/>
        <v>0</v>
      </c>
      <c r="H24" s="23"/>
      <c r="I24" s="24">
        <f t="shared" si="1"/>
        <v>0</v>
      </c>
    </row>
    <row r="25" spans="1:9">
      <c r="A25" s="4" t="s">
        <v>45</v>
      </c>
      <c r="B25" s="4" t="s">
        <v>10</v>
      </c>
      <c r="C25" s="20"/>
      <c r="D25" s="21"/>
      <c r="E25" s="22"/>
      <c r="F25" s="23"/>
      <c r="G25" s="24">
        <f t="shared" si="0"/>
        <v>0</v>
      </c>
      <c r="H25" s="23"/>
      <c r="I25" s="24">
        <f t="shared" si="1"/>
        <v>0</v>
      </c>
    </row>
    <row r="26" spans="1:9">
      <c r="A26" s="4" t="s">
        <v>46</v>
      </c>
      <c r="B26" s="4" t="s">
        <v>47</v>
      </c>
      <c r="C26" s="20"/>
      <c r="D26" s="21"/>
      <c r="E26" s="22"/>
      <c r="F26" s="23"/>
      <c r="G26" s="24">
        <f t="shared" si="0"/>
        <v>0</v>
      </c>
      <c r="H26" s="23"/>
      <c r="I26" s="24">
        <f t="shared" si="1"/>
        <v>0</v>
      </c>
    </row>
    <row r="27" spans="1:9">
      <c r="A27" s="4" t="s">
        <v>48</v>
      </c>
      <c r="B27" s="4" t="s">
        <v>39</v>
      </c>
      <c r="C27" s="20"/>
      <c r="D27" s="21"/>
      <c r="E27" s="22"/>
      <c r="F27" s="23"/>
      <c r="G27" s="24">
        <f t="shared" si="0"/>
        <v>0</v>
      </c>
      <c r="H27" s="23"/>
      <c r="I27" s="24">
        <f t="shared" si="1"/>
        <v>0</v>
      </c>
    </row>
    <row r="28" spans="1:9">
      <c r="A28" s="4" t="s">
        <v>49</v>
      </c>
      <c r="B28" s="4" t="s">
        <v>50</v>
      </c>
      <c r="C28" s="20">
        <v>410</v>
      </c>
      <c r="D28" s="21">
        <f>C28/4</f>
        <v>102.5</v>
      </c>
      <c r="E28" s="22" t="s">
        <v>6</v>
      </c>
      <c r="F28" s="23"/>
      <c r="G28" s="24">
        <f t="shared" si="0"/>
        <v>0</v>
      </c>
      <c r="H28" s="23"/>
      <c r="I28" s="24">
        <f t="shared" si="1"/>
        <v>0</v>
      </c>
    </row>
    <row r="29" spans="1:9">
      <c r="A29" s="4" t="s">
        <v>51</v>
      </c>
      <c r="B29" s="4" t="s">
        <v>50</v>
      </c>
      <c r="C29" s="20"/>
      <c r="D29" s="21"/>
      <c r="E29" s="22"/>
      <c r="F29" s="23"/>
      <c r="G29" s="24">
        <f t="shared" si="0"/>
        <v>0</v>
      </c>
      <c r="H29" s="23"/>
      <c r="I29" s="24">
        <f t="shared" si="1"/>
        <v>0</v>
      </c>
    </row>
    <row r="30" spans="1:9">
      <c r="A30" s="4" t="s">
        <v>52</v>
      </c>
      <c r="B30" s="4" t="s">
        <v>33</v>
      </c>
      <c r="C30" s="20"/>
      <c r="D30" s="21"/>
      <c r="E30" s="22"/>
      <c r="F30" s="23"/>
      <c r="G30" s="24">
        <f t="shared" si="0"/>
        <v>0</v>
      </c>
      <c r="H30" s="23"/>
      <c r="I30" s="24">
        <f t="shared" si="1"/>
        <v>0</v>
      </c>
    </row>
    <row r="31" spans="1:9">
      <c r="A31" s="4" t="s">
        <v>53</v>
      </c>
      <c r="B31" s="4" t="s">
        <v>54</v>
      </c>
      <c r="C31" s="20"/>
      <c r="D31" s="21"/>
      <c r="E31" s="22"/>
      <c r="F31" s="23"/>
      <c r="G31" s="24">
        <f t="shared" si="0"/>
        <v>0</v>
      </c>
      <c r="H31" s="23"/>
      <c r="I31" s="24">
        <f t="shared" si="1"/>
        <v>0</v>
      </c>
    </row>
    <row r="32" spans="1:9">
      <c r="A32" s="4" t="s">
        <v>55</v>
      </c>
      <c r="B32" s="4" t="s">
        <v>39</v>
      </c>
      <c r="C32" s="20"/>
      <c r="D32" s="21"/>
      <c r="E32" s="22"/>
      <c r="F32" s="23"/>
      <c r="G32" s="24">
        <f t="shared" si="0"/>
        <v>0</v>
      </c>
      <c r="H32" s="23"/>
      <c r="I32" s="24">
        <f t="shared" si="1"/>
        <v>0</v>
      </c>
    </row>
    <row r="33" spans="1:9">
      <c r="A33" s="4" t="s">
        <v>56</v>
      </c>
      <c r="B33" s="4" t="s">
        <v>33</v>
      </c>
      <c r="C33" s="20">
        <v>410</v>
      </c>
      <c r="D33" s="21">
        <f>C33/4</f>
        <v>102.5</v>
      </c>
      <c r="E33" s="22" t="s">
        <v>6</v>
      </c>
      <c r="F33" s="23"/>
      <c r="G33" s="24">
        <f t="shared" si="0"/>
        <v>0</v>
      </c>
      <c r="H33" s="23"/>
      <c r="I33" s="24">
        <f t="shared" si="1"/>
        <v>0</v>
      </c>
    </row>
    <row r="34" spans="1:9">
      <c r="A34" s="4" t="s">
        <v>57</v>
      </c>
      <c r="B34" s="4" t="s">
        <v>33</v>
      </c>
      <c r="C34" s="20">
        <v>410</v>
      </c>
      <c r="D34" s="21">
        <f>C34/4</f>
        <v>102.5</v>
      </c>
      <c r="E34" s="22" t="s">
        <v>6</v>
      </c>
      <c r="F34" s="23"/>
      <c r="G34" s="24">
        <f t="shared" si="0"/>
        <v>0</v>
      </c>
      <c r="H34" s="23"/>
      <c r="I34" s="24">
        <f t="shared" si="1"/>
        <v>0</v>
      </c>
    </row>
    <row r="35" spans="1:9">
      <c r="A35" s="4" t="s">
        <v>58</v>
      </c>
      <c r="B35" s="4" t="s">
        <v>33</v>
      </c>
      <c r="C35" s="20">
        <v>410</v>
      </c>
      <c r="D35" s="21">
        <f>C35/4</f>
        <v>102.5</v>
      </c>
      <c r="E35" s="22" t="s">
        <v>6</v>
      </c>
      <c r="F35" s="23"/>
      <c r="G35" s="24">
        <f t="shared" ref="G35:G79" si="3">F35*C35</f>
        <v>0</v>
      </c>
      <c r="H35" s="23"/>
      <c r="I35" s="24">
        <f t="shared" ref="I35:I80" si="4">H35*D35</f>
        <v>0</v>
      </c>
    </row>
    <row r="36" spans="1:9">
      <c r="A36" s="4" t="s">
        <v>59</v>
      </c>
      <c r="B36" s="4" t="s">
        <v>33</v>
      </c>
      <c r="C36" s="20">
        <v>410</v>
      </c>
      <c r="D36" s="21">
        <f>C36/4</f>
        <v>102.5</v>
      </c>
      <c r="E36" s="22" t="s">
        <v>6</v>
      </c>
      <c r="F36" s="23"/>
      <c r="G36" s="24">
        <f t="shared" si="3"/>
        <v>0</v>
      </c>
      <c r="H36" s="23"/>
      <c r="I36" s="24">
        <f t="shared" si="4"/>
        <v>0</v>
      </c>
    </row>
    <row r="37" spans="1:9">
      <c r="A37" s="4" t="s">
        <v>60</v>
      </c>
      <c r="B37" s="4" t="s">
        <v>33</v>
      </c>
      <c r="C37" s="20">
        <v>410</v>
      </c>
      <c r="D37" s="21">
        <f>C37/4</f>
        <v>102.5</v>
      </c>
      <c r="E37" s="22" t="s">
        <v>6</v>
      </c>
      <c r="F37" s="23"/>
      <c r="G37" s="24">
        <f t="shared" si="3"/>
        <v>0</v>
      </c>
      <c r="H37" s="23"/>
      <c r="I37" s="24">
        <f t="shared" si="4"/>
        <v>0</v>
      </c>
    </row>
    <row r="38" spans="1:9">
      <c r="A38" s="4" t="s">
        <v>61</v>
      </c>
      <c r="B38" s="4" t="s">
        <v>62</v>
      </c>
      <c r="C38" s="20"/>
      <c r="D38" s="21"/>
      <c r="E38" s="22"/>
      <c r="F38" s="23"/>
      <c r="G38" s="24">
        <f t="shared" si="3"/>
        <v>0</v>
      </c>
      <c r="H38" s="23"/>
      <c r="I38" s="24">
        <f t="shared" si="4"/>
        <v>0</v>
      </c>
    </row>
    <row r="39" spans="1:9">
      <c r="A39" s="4" t="s">
        <v>63</v>
      </c>
      <c r="B39" s="4" t="s">
        <v>62</v>
      </c>
      <c r="C39" s="20"/>
      <c r="D39" s="21"/>
      <c r="E39" s="22"/>
      <c r="F39" s="23"/>
      <c r="G39" s="24">
        <f t="shared" si="3"/>
        <v>0</v>
      </c>
      <c r="H39" s="23"/>
      <c r="I39" s="24">
        <f t="shared" si="4"/>
        <v>0</v>
      </c>
    </row>
    <row r="40" spans="1:9">
      <c r="A40" s="4" t="s">
        <v>64</v>
      </c>
      <c r="B40" s="4" t="s">
        <v>62</v>
      </c>
      <c r="C40" s="20"/>
      <c r="D40" s="21"/>
      <c r="E40" s="22"/>
      <c r="F40" s="23"/>
      <c r="G40" s="24">
        <f t="shared" si="3"/>
        <v>0</v>
      </c>
      <c r="H40" s="23"/>
      <c r="I40" s="24">
        <f t="shared" si="4"/>
        <v>0</v>
      </c>
    </row>
    <row r="41" spans="1:9">
      <c r="A41" s="4" t="s">
        <v>65</v>
      </c>
      <c r="B41" s="4" t="s">
        <v>39</v>
      </c>
      <c r="C41" s="20"/>
      <c r="D41" s="21"/>
      <c r="E41" s="22"/>
      <c r="F41" s="23"/>
      <c r="G41" s="24">
        <f t="shared" si="3"/>
        <v>0</v>
      </c>
      <c r="H41" s="23"/>
      <c r="I41" s="24">
        <f t="shared" si="4"/>
        <v>0</v>
      </c>
    </row>
    <row r="42" spans="1:9">
      <c r="A42" s="4" t="s">
        <v>66</v>
      </c>
      <c r="B42" s="4" t="s">
        <v>62</v>
      </c>
      <c r="C42" s="20"/>
      <c r="D42" s="21"/>
      <c r="E42" s="22"/>
      <c r="F42" s="23"/>
      <c r="G42" s="24">
        <f t="shared" si="3"/>
        <v>0</v>
      </c>
      <c r="H42" s="23"/>
      <c r="I42" s="24">
        <f t="shared" si="4"/>
        <v>0</v>
      </c>
    </row>
    <row r="43" spans="1:9">
      <c r="A43" s="4" t="s">
        <v>67</v>
      </c>
      <c r="B43" s="4" t="s">
        <v>62</v>
      </c>
      <c r="C43" s="20"/>
      <c r="D43" s="21"/>
      <c r="E43" s="22"/>
      <c r="F43" s="23"/>
      <c r="G43" s="24">
        <f t="shared" si="3"/>
        <v>0</v>
      </c>
      <c r="H43" s="23"/>
      <c r="I43" s="24">
        <f t="shared" si="4"/>
        <v>0</v>
      </c>
    </row>
    <row r="44" spans="1:9">
      <c r="A44" s="4" t="s">
        <v>68</v>
      </c>
      <c r="B44" s="4" t="s">
        <v>69</v>
      </c>
      <c r="C44" s="20"/>
      <c r="D44" s="21"/>
      <c r="E44" s="22"/>
      <c r="F44" s="23"/>
      <c r="G44" s="24">
        <f t="shared" si="3"/>
        <v>0</v>
      </c>
      <c r="H44" s="23"/>
      <c r="I44" s="24">
        <f t="shared" si="4"/>
        <v>0</v>
      </c>
    </row>
    <row r="45" customFormat="1" spans="1:9">
      <c r="A45" s="4" t="s">
        <v>70</v>
      </c>
      <c r="B45" s="4" t="s">
        <v>39</v>
      </c>
      <c r="C45" s="20">
        <v>175</v>
      </c>
      <c r="D45" s="21">
        <f>C45/30</f>
        <v>5.83333333333333</v>
      </c>
      <c r="E45" s="22" t="s">
        <v>31</v>
      </c>
      <c r="F45" s="23"/>
      <c r="G45" s="24">
        <f t="shared" si="3"/>
        <v>0</v>
      </c>
      <c r="H45" s="23"/>
      <c r="I45" s="24">
        <f t="shared" si="4"/>
        <v>0</v>
      </c>
    </row>
    <row r="46" spans="1:9">
      <c r="A46" s="4" t="s">
        <v>71</v>
      </c>
      <c r="B46" s="4" t="s">
        <v>72</v>
      </c>
      <c r="C46" s="20"/>
      <c r="D46" s="21"/>
      <c r="E46" s="22"/>
      <c r="F46" s="23"/>
      <c r="G46" s="24">
        <f t="shared" si="3"/>
        <v>0</v>
      </c>
      <c r="H46" s="23"/>
      <c r="I46" s="24">
        <f t="shared" si="4"/>
        <v>0</v>
      </c>
    </row>
    <row r="47" spans="1:9">
      <c r="A47" s="4" t="s">
        <v>73</v>
      </c>
      <c r="B47" s="4" t="s">
        <v>30</v>
      </c>
      <c r="C47" s="20">
        <v>335</v>
      </c>
      <c r="D47" s="21">
        <f>C47/25</f>
        <v>13.4</v>
      </c>
      <c r="E47" s="22" t="s">
        <v>31</v>
      </c>
      <c r="F47" s="23"/>
      <c r="G47" s="24">
        <f t="shared" si="3"/>
        <v>0</v>
      </c>
      <c r="H47" s="23"/>
      <c r="I47" s="24">
        <f t="shared" si="4"/>
        <v>0</v>
      </c>
    </row>
    <row r="48" spans="1:9">
      <c r="A48" s="4" t="s">
        <v>74</v>
      </c>
      <c r="B48" s="4" t="s">
        <v>75</v>
      </c>
      <c r="C48" s="20"/>
      <c r="D48" s="21"/>
      <c r="E48" s="22"/>
      <c r="F48" s="23"/>
      <c r="G48" s="24">
        <f t="shared" si="3"/>
        <v>0</v>
      </c>
      <c r="H48" s="23"/>
      <c r="I48" s="24">
        <f t="shared" si="4"/>
        <v>0</v>
      </c>
    </row>
    <row r="49" spans="1:9">
      <c r="A49" s="4" t="s">
        <v>76</v>
      </c>
      <c r="B49" s="4" t="s">
        <v>47</v>
      </c>
      <c r="C49" s="20"/>
      <c r="D49" s="21"/>
      <c r="E49" s="22"/>
      <c r="F49" s="23"/>
      <c r="G49" s="24">
        <f t="shared" si="3"/>
        <v>0</v>
      </c>
      <c r="H49" s="23"/>
      <c r="I49" s="24">
        <f t="shared" si="4"/>
        <v>0</v>
      </c>
    </row>
    <row r="50" spans="1:9">
      <c r="A50" s="4" t="s">
        <v>77</v>
      </c>
      <c r="B50" s="4" t="s">
        <v>47</v>
      </c>
      <c r="C50" s="20"/>
      <c r="D50" s="21"/>
      <c r="E50" s="22"/>
      <c r="F50" s="23"/>
      <c r="G50" s="24">
        <f t="shared" si="3"/>
        <v>0</v>
      </c>
      <c r="H50" s="23"/>
      <c r="I50" s="24">
        <f t="shared" si="4"/>
        <v>0</v>
      </c>
    </row>
    <row r="51" spans="1:9">
      <c r="A51" s="4" t="s">
        <v>78</v>
      </c>
      <c r="B51" s="4" t="s">
        <v>79</v>
      </c>
      <c r="C51" s="20">
        <v>465</v>
      </c>
      <c r="D51" s="21">
        <f>C51/5</f>
        <v>93</v>
      </c>
      <c r="E51" s="22" t="s">
        <v>6</v>
      </c>
      <c r="F51" s="23"/>
      <c r="G51" s="24">
        <f t="shared" si="3"/>
        <v>0</v>
      </c>
      <c r="H51" s="23"/>
      <c r="I51" s="24">
        <f t="shared" si="4"/>
        <v>0</v>
      </c>
    </row>
    <row r="52" spans="1:9">
      <c r="A52" s="4" t="s">
        <v>80</v>
      </c>
      <c r="B52" s="4" t="s">
        <v>81</v>
      </c>
      <c r="C52" s="20">
        <v>410</v>
      </c>
      <c r="D52" s="21">
        <v>102.5</v>
      </c>
      <c r="E52" s="22" t="s">
        <v>6</v>
      </c>
      <c r="F52" s="23"/>
      <c r="G52" s="24">
        <f t="shared" si="3"/>
        <v>0</v>
      </c>
      <c r="H52" s="23"/>
      <c r="I52" s="24">
        <f t="shared" si="4"/>
        <v>0</v>
      </c>
    </row>
    <row r="53" customFormat="1" spans="1:9">
      <c r="A53" s="4" t="s">
        <v>82</v>
      </c>
      <c r="B53" s="4" t="s">
        <v>33</v>
      </c>
      <c r="C53" s="20">
        <v>410</v>
      </c>
      <c r="D53" s="21">
        <v>102.5</v>
      </c>
      <c r="E53" s="22" t="s">
        <v>6</v>
      </c>
      <c r="F53" s="23"/>
      <c r="G53" s="24">
        <f t="shared" si="3"/>
        <v>0</v>
      </c>
      <c r="H53" s="23"/>
      <c r="I53" s="24">
        <f t="shared" si="4"/>
        <v>0</v>
      </c>
    </row>
    <row r="54" spans="1:9">
      <c r="A54" s="4" t="s">
        <v>83</v>
      </c>
      <c r="B54" s="4" t="s">
        <v>35</v>
      </c>
      <c r="C54" s="20"/>
      <c r="D54" s="21"/>
      <c r="E54" s="22"/>
      <c r="F54" s="23"/>
      <c r="G54" s="24">
        <f t="shared" si="3"/>
        <v>0</v>
      </c>
      <c r="H54" s="23"/>
      <c r="I54" s="24">
        <f t="shared" si="4"/>
        <v>0</v>
      </c>
    </row>
    <row r="55" spans="1:9">
      <c r="A55" s="4" t="s">
        <v>84</v>
      </c>
      <c r="B55" s="4" t="s">
        <v>85</v>
      </c>
      <c r="C55" s="20"/>
      <c r="D55" s="21"/>
      <c r="E55" s="22"/>
      <c r="F55" s="23"/>
      <c r="G55" s="24">
        <f t="shared" si="3"/>
        <v>0</v>
      </c>
      <c r="H55" s="23"/>
      <c r="I55" s="24">
        <f t="shared" si="4"/>
        <v>0</v>
      </c>
    </row>
    <row r="56" spans="1:9">
      <c r="A56" s="4" t="s">
        <v>86</v>
      </c>
      <c r="B56" s="4" t="s">
        <v>33</v>
      </c>
      <c r="C56" s="20">
        <v>410</v>
      </c>
      <c r="D56" s="21">
        <f>C56/4</f>
        <v>102.5</v>
      </c>
      <c r="E56" s="22" t="s">
        <v>6</v>
      </c>
      <c r="F56" s="23"/>
      <c r="G56" s="24">
        <f t="shared" si="3"/>
        <v>0</v>
      </c>
      <c r="H56" s="23"/>
      <c r="I56" s="24">
        <f t="shared" si="4"/>
        <v>0</v>
      </c>
    </row>
    <row r="57" spans="1:9">
      <c r="A57" s="4" t="s">
        <v>87</v>
      </c>
      <c r="B57" s="4" t="s">
        <v>88</v>
      </c>
      <c r="C57" s="20"/>
      <c r="D57" s="21"/>
      <c r="E57" s="22"/>
      <c r="F57" s="23"/>
      <c r="G57" s="24">
        <f t="shared" si="3"/>
        <v>0</v>
      </c>
      <c r="H57" s="23"/>
      <c r="I57" s="24">
        <f t="shared" si="4"/>
        <v>0</v>
      </c>
    </row>
    <row r="58" spans="1:9">
      <c r="A58" s="4" t="s">
        <v>89</v>
      </c>
      <c r="B58" s="4" t="s">
        <v>33</v>
      </c>
      <c r="C58" s="20">
        <v>410</v>
      </c>
      <c r="D58" s="21">
        <f t="shared" ref="D58:D64" si="5">C58/4</f>
        <v>102.5</v>
      </c>
      <c r="E58" s="22" t="s">
        <v>6</v>
      </c>
      <c r="F58" s="23"/>
      <c r="G58" s="24">
        <f t="shared" si="3"/>
        <v>0</v>
      </c>
      <c r="H58" s="23"/>
      <c r="I58" s="24">
        <f t="shared" si="4"/>
        <v>0</v>
      </c>
    </row>
    <row r="59" spans="1:9">
      <c r="A59" s="4" t="s">
        <v>90</v>
      </c>
      <c r="B59" s="4" t="s">
        <v>33</v>
      </c>
      <c r="C59" s="20">
        <v>410</v>
      </c>
      <c r="D59" s="21">
        <f t="shared" si="5"/>
        <v>102.5</v>
      </c>
      <c r="E59" s="22" t="s">
        <v>6</v>
      </c>
      <c r="F59" s="23"/>
      <c r="G59" s="24">
        <f t="shared" si="3"/>
        <v>0</v>
      </c>
      <c r="H59" s="23"/>
      <c r="I59" s="24">
        <f t="shared" si="4"/>
        <v>0</v>
      </c>
    </row>
    <row r="60" spans="1:9">
      <c r="A60" s="4" t="s">
        <v>91</v>
      </c>
      <c r="B60" s="4" t="s">
        <v>92</v>
      </c>
      <c r="C60" s="20">
        <v>200</v>
      </c>
      <c r="D60" s="21">
        <f>C60/20</f>
        <v>10</v>
      </c>
      <c r="E60" s="22" t="s">
        <v>6</v>
      </c>
      <c r="F60" s="23"/>
      <c r="G60" s="24">
        <f t="shared" si="3"/>
        <v>0</v>
      </c>
      <c r="H60" s="23"/>
      <c r="I60" s="24">
        <f t="shared" si="4"/>
        <v>0</v>
      </c>
    </row>
    <row r="61" spans="1:9">
      <c r="A61" s="4" t="s">
        <v>93</v>
      </c>
      <c r="B61" s="31" t="s">
        <v>94</v>
      </c>
      <c r="C61" s="20">
        <v>200</v>
      </c>
      <c r="D61" s="21">
        <v>10</v>
      </c>
      <c r="E61" s="22" t="s">
        <v>6</v>
      </c>
      <c r="F61" s="23"/>
      <c r="G61" s="24">
        <f t="shared" si="3"/>
        <v>0</v>
      </c>
      <c r="H61" s="23"/>
      <c r="I61" s="24">
        <f t="shared" si="4"/>
        <v>0</v>
      </c>
    </row>
    <row r="62" spans="1:9">
      <c r="A62" s="32" t="s">
        <v>95</v>
      </c>
      <c r="B62" s="32" t="s">
        <v>96</v>
      </c>
      <c r="C62" s="33">
        <v>70</v>
      </c>
      <c r="D62" s="34">
        <v>7</v>
      </c>
      <c r="E62" s="32" t="s">
        <v>97</v>
      </c>
      <c r="F62" s="23"/>
      <c r="G62" s="24">
        <f t="shared" si="3"/>
        <v>0</v>
      </c>
      <c r="H62" s="23"/>
      <c r="I62" s="24">
        <f t="shared" si="4"/>
        <v>0</v>
      </c>
    </row>
    <row r="63" spans="1:9">
      <c r="A63" s="4" t="s">
        <v>98</v>
      </c>
      <c r="B63" s="4" t="s">
        <v>99</v>
      </c>
      <c r="C63" s="20">
        <v>310</v>
      </c>
      <c r="D63" s="21">
        <f t="shared" si="5"/>
        <v>77.5</v>
      </c>
      <c r="E63" s="22" t="s">
        <v>6</v>
      </c>
      <c r="F63" s="23"/>
      <c r="G63" s="24">
        <f t="shared" si="3"/>
        <v>0</v>
      </c>
      <c r="H63" s="23"/>
      <c r="I63" s="24">
        <f t="shared" si="4"/>
        <v>0</v>
      </c>
    </row>
    <row r="64" spans="1:9">
      <c r="A64" s="4" t="s">
        <v>100</v>
      </c>
      <c r="B64" s="4" t="s">
        <v>81</v>
      </c>
      <c r="C64" s="20">
        <v>310</v>
      </c>
      <c r="D64" s="21">
        <f t="shared" si="5"/>
        <v>77.5</v>
      </c>
      <c r="E64" s="22" t="s">
        <v>6</v>
      </c>
      <c r="F64" s="23"/>
      <c r="G64" s="24">
        <f t="shared" si="3"/>
        <v>0</v>
      </c>
      <c r="H64" s="23"/>
      <c r="I64" s="24">
        <f t="shared" si="4"/>
        <v>0</v>
      </c>
    </row>
    <row r="65" spans="1:9">
      <c r="A65" s="4" t="s">
        <v>101</v>
      </c>
      <c r="B65" s="4" t="s">
        <v>39</v>
      </c>
      <c r="C65" s="20"/>
      <c r="D65" s="21"/>
      <c r="E65" s="22"/>
      <c r="F65" s="23"/>
      <c r="G65" s="24">
        <f t="shared" si="3"/>
        <v>0</v>
      </c>
      <c r="H65" s="23"/>
      <c r="I65" s="24">
        <f t="shared" si="4"/>
        <v>0</v>
      </c>
    </row>
    <row r="66" spans="1:9">
      <c r="A66" s="4" t="s">
        <v>102</v>
      </c>
      <c r="B66" s="4" t="s">
        <v>103</v>
      </c>
      <c r="C66" s="20">
        <v>465</v>
      </c>
      <c r="D66" s="21">
        <f>C66/4</f>
        <v>116.25</v>
      </c>
      <c r="E66" s="22" t="s">
        <v>6</v>
      </c>
      <c r="F66" s="23"/>
      <c r="G66" s="24">
        <f t="shared" si="3"/>
        <v>0</v>
      </c>
      <c r="H66" s="23"/>
      <c r="I66" s="24">
        <f t="shared" si="4"/>
        <v>0</v>
      </c>
    </row>
    <row r="67" spans="1:9">
      <c r="A67" s="4" t="s">
        <v>104</v>
      </c>
      <c r="B67" s="4" t="s">
        <v>103</v>
      </c>
      <c r="C67" s="20">
        <v>465</v>
      </c>
      <c r="D67" s="21">
        <f>C67/4</f>
        <v>116.25</v>
      </c>
      <c r="E67" s="22" t="s">
        <v>6</v>
      </c>
      <c r="F67" s="23"/>
      <c r="G67" s="24">
        <f t="shared" si="3"/>
        <v>0</v>
      </c>
      <c r="H67" s="23"/>
      <c r="I67" s="24">
        <f t="shared" si="4"/>
        <v>0</v>
      </c>
    </row>
    <row r="68" spans="1:9">
      <c r="A68" s="4" t="s">
        <v>105</v>
      </c>
      <c r="B68" s="4" t="s">
        <v>106</v>
      </c>
      <c r="C68" s="20">
        <v>465</v>
      </c>
      <c r="D68" s="21">
        <f>C68/3</f>
        <v>155</v>
      </c>
      <c r="E68" s="22" t="s">
        <v>6</v>
      </c>
      <c r="F68" s="23"/>
      <c r="G68" s="24">
        <f t="shared" si="3"/>
        <v>0</v>
      </c>
      <c r="H68" s="23"/>
      <c r="I68" s="24">
        <f t="shared" si="4"/>
        <v>0</v>
      </c>
    </row>
    <row r="69" spans="1:9">
      <c r="A69" s="4" t="s">
        <v>107</v>
      </c>
      <c r="B69" s="4" t="s">
        <v>108</v>
      </c>
      <c r="C69" s="20">
        <v>230</v>
      </c>
      <c r="D69" s="21">
        <v>57.5</v>
      </c>
      <c r="E69" s="22" t="s">
        <v>6</v>
      </c>
      <c r="F69" s="23"/>
      <c r="G69" s="24">
        <f t="shared" si="3"/>
        <v>0</v>
      </c>
      <c r="H69" s="23"/>
      <c r="I69" s="24">
        <f t="shared" si="4"/>
        <v>0</v>
      </c>
    </row>
    <row r="70" spans="1:9">
      <c r="A70" s="4" t="s">
        <v>109</v>
      </c>
      <c r="B70" s="4" t="s">
        <v>110</v>
      </c>
      <c r="C70" s="20"/>
      <c r="D70" s="21"/>
      <c r="E70" s="22"/>
      <c r="F70" s="23"/>
      <c r="G70" s="24">
        <f t="shared" si="3"/>
        <v>0</v>
      </c>
      <c r="H70" s="23"/>
      <c r="I70" s="24">
        <f t="shared" si="4"/>
        <v>0</v>
      </c>
    </row>
    <row r="71" customFormat="1" spans="1:9">
      <c r="A71" s="4" t="s">
        <v>111</v>
      </c>
      <c r="B71" s="4" t="s">
        <v>112</v>
      </c>
      <c r="C71" s="20">
        <v>465</v>
      </c>
      <c r="D71" s="21">
        <f>465/5</f>
        <v>93</v>
      </c>
      <c r="E71" s="22" t="s">
        <v>6</v>
      </c>
      <c r="F71" s="23"/>
      <c r="G71" s="24">
        <f t="shared" si="3"/>
        <v>0</v>
      </c>
      <c r="H71" s="23"/>
      <c r="I71" s="24">
        <f t="shared" si="4"/>
        <v>0</v>
      </c>
    </row>
    <row r="72" s="7" customFormat="1" spans="1:9">
      <c r="A72" s="32" t="s">
        <v>113</v>
      </c>
      <c r="B72" s="4" t="s">
        <v>13</v>
      </c>
      <c r="C72" s="20">
        <v>410</v>
      </c>
      <c r="D72" s="21">
        <f>C72/4</f>
        <v>102.5</v>
      </c>
      <c r="E72" s="22" t="s">
        <v>6</v>
      </c>
      <c r="F72" s="23"/>
      <c r="G72" s="24">
        <f t="shared" si="3"/>
        <v>0</v>
      </c>
      <c r="H72" s="23"/>
      <c r="I72" s="24">
        <f t="shared" si="4"/>
        <v>0</v>
      </c>
    </row>
    <row r="73" s="7" customFormat="1" spans="1:9">
      <c r="A73" s="32" t="s">
        <v>114</v>
      </c>
      <c r="B73" s="4"/>
      <c r="C73" s="20">
        <v>410</v>
      </c>
      <c r="D73" s="21"/>
      <c r="E73" s="22"/>
      <c r="F73" s="23"/>
      <c r="G73" s="24">
        <f t="shared" si="3"/>
        <v>0</v>
      </c>
      <c r="H73" s="23"/>
      <c r="I73" s="24">
        <f t="shared" si="4"/>
        <v>0</v>
      </c>
    </row>
    <row r="74" s="7" customFormat="1" spans="1:9">
      <c r="A74" s="32" t="s">
        <v>115</v>
      </c>
      <c r="B74" s="35" t="s">
        <v>116</v>
      </c>
      <c r="C74" s="20">
        <v>360</v>
      </c>
      <c r="D74" s="21">
        <f>C74/4</f>
        <v>90</v>
      </c>
      <c r="E74" s="22" t="s">
        <v>6</v>
      </c>
      <c r="F74" s="23"/>
      <c r="G74" s="24">
        <f t="shared" si="3"/>
        <v>0</v>
      </c>
      <c r="H74" s="23"/>
      <c r="I74" s="24">
        <f t="shared" si="4"/>
        <v>0</v>
      </c>
    </row>
    <row r="75" s="7" customFormat="1" spans="1:9">
      <c r="A75" s="32" t="s">
        <v>117</v>
      </c>
      <c r="B75" s="35" t="s">
        <v>116</v>
      </c>
      <c r="C75" s="20">
        <v>360</v>
      </c>
      <c r="D75" s="21">
        <f>C75/4</f>
        <v>90</v>
      </c>
      <c r="E75" s="22" t="s">
        <v>6</v>
      </c>
      <c r="F75" s="23"/>
      <c r="G75" s="24">
        <f t="shared" si="3"/>
        <v>0</v>
      </c>
      <c r="H75" s="23"/>
      <c r="I75" s="24">
        <f t="shared" si="4"/>
        <v>0</v>
      </c>
    </row>
    <row r="76" s="7" customFormat="1" spans="1:9">
      <c r="A76" s="32" t="s">
        <v>118</v>
      </c>
      <c r="B76" s="35" t="s">
        <v>116</v>
      </c>
      <c r="C76" s="20">
        <v>360</v>
      </c>
      <c r="D76" s="21">
        <f>C76/4</f>
        <v>90</v>
      </c>
      <c r="E76" s="22" t="s">
        <v>6</v>
      </c>
      <c r="F76" s="23"/>
      <c r="G76" s="24">
        <f t="shared" si="3"/>
        <v>0</v>
      </c>
      <c r="H76" s="23"/>
      <c r="I76" s="24">
        <f t="shared" si="4"/>
        <v>0</v>
      </c>
    </row>
    <row r="77" s="7" customFormat="1" spans="1:9">
      <c r="A77" s="32" t="s">
        <v>119</v>
      </c>
      <c r="B77" s="35" t="s">
        <v>116</v>
      </c>
      <c r="C77" s="20">
        <v>360</v>
      </c>
      <c r="D77" s="21">
        <f>C77/4</f>
        <v>90</v>
      </c>
      <c r="E77" s="22" t="s">
        <v>6</v>
      </c>
      <c r="F77" s="23"/>
      <c r="G77" s="24">
        <f t="shared" si="3"/>
        <v>0</v>
      </c>
      <c r="H77" s="23"/>
      <c r="I77" s="24">
        <f t="shared" si="4"/>
        <v>0</v>
      </c>
    </row>
    <row r="78" s="7" customFormat="1" spans="1:9">
      <c r="A78" s="32" t="s">
        <v>120</v>
      </c>
      <c r="B78" s="4" t="s">
        <v>121</v>
      </c>
      <c r="C78" s="20">
        <v>286</v>
      </c>
      <c r="D78" s="21">
        <f>C78/2</f>
        <v>143</v>
      </c>
      <c r="E78" s="22" t="s">
        <v>6</v>
      </c>
      <c r="F78" s="23"/>
      <c r="G78" s="24">
        <f t="shared" si="3"/>
        <v>0</v>
      </c>
      <c r="H78" s="23"/>
      <c r="I78" s="24">
        <f t="shared" si="4"/>
        <v>0</v>
      </c>
    </row>
    <row r="79" s="7" customFormat="1" spans="1:9">
      <c r="A79" s="32" t="s">
        <v>122</v>
      </c>
      <c r="B79" s="4"/>
      <c r="C79" s="20"/>
      <c r="D79" s="21">
        <v>10</v>
      </c>
      <c r="E79" s="22" t="s">
        <v>6</v>
      </c>
      <c r="F79" s="23"/>
      <c r="G79" s="24"/>
      <c r="H79" s="23"/>
      <c r="I79" s="24">
        <f t="shared" si="4"/>
        <v>0</v>
      </c>
    </row>
    <row r="80" s="7" customFormat="1" spans="1:9">
      <c r="A80" s="32" t="s">
        <v>123</v>
      </c>
      <c r="B80" s="4"/>
      <c r="C80" s="20"/>
      <c r="D80" s="21">
        <v>10</v>
      </c>
      <c r="E80" s="22" t="s">
        <v>6</v>
      </c>
      <c r="F80" s="23"/>
      <c r="G80" s="24"/>
      <c r="H80" s="23"/>
      <c r="I80" s="24">
        <f t="shared" si="4"/>
        <v>0</v>
      </c>
    </row>
    <row r="81" s="8" customFormat="1" spans="1:9">
      <c r="A81" s="36" t="s">
        <v>124</v>
      </c>
      <c r="B81" s="36" t="s">
        <v>125</v>
      </c>
      <c r="C81" s="37">
        <v>165</v>
      </c>
      <c r="D81" s="38"/>
      <c r="E81" s="36"/>
      <c r="F81" s="23"/>
      <c r="G81" s="38">
        <f>F81*C81</f>
        <v>0</v>
      </c>
      <c r="H81" s="23"/>
      <c r="I81" s="38"/>
    </row>
    <row r="82" spans="1:9">
      <c r="A82" s="4" t="s">
        <v>126</v>
      </c>
      <c r="B82" s="4" t="s">
        <v>125</v>
      </c>
      <c r="C82" s="20">
        <v>165</v>
      </c>
      <c r="D82" s="21"/>
      <c r="E82" s="22"/>
      <c r="F82" s="23"/>
      <c r="G82" s="24">
        <f t="shared" ref="G81:G94" si="6">F82*C82</f>
        <v>0</v>
      </c>
      <c r="H82" s="23"/>
      <c r="I82" s="24"/>
    </row>
    <row r="83" spans="1:9">
      <c r="A83" s="4" t="s">
        <v>127</v>
      </c>
      <c r="B83" s="4" t="s">
        <v>125</v>
      </c>
      <c r="C83" s="20">
        <v>165</v>
      </c>
      <c r="D83" s="21"/>
      <c r="E83" s="22"/>
      <c r="F83" s="23"/>
      <c r="G83" s="24">
        <f t="shared" si="6"/>
        <v>0</v>
      </c>
      <c r="H83" s="23"/>
      <c r="I83" s="24"/>
    </row>
    <row r="84" spans="1:9">
      <c r="A84" s="4" t="s">
        <v>128</v>
      </c>
      <c r="B84" s="4" t="s">
        <v>125</v>
      </c>
      <c r="C84" s="20"/>
      <c r="D84" s="21"/>
      <c r="E84" s="22"/>
      <c r="F84" s="23"/>
      <c r="G84" s="24">
        <f t="shared" si="6"/>
        <v>0</v>
      </c>
      <c r="H84" s="23"/>
      <c r="I84" s="24"/>
    </row>
    <row r="85" spans="1:9">
      <c r="A85" s="4" t="s">
        <v>129</v>
      </c>
      <c r="B85" s="4" t="s">
        <v>125</v>
      </c>
      <c r="C85" s="20">
        <v>165</v>
      </c>
      <c r="D85" s="21"/>
      <c r="E85" s="22"/>
      <c r="F85" s="23"/>
      <c r="G85" s="24">
        <f t="shared" si="6"/>
        <v>0</v>
      </c>
      <c r="H85" s="23"/>
      <c r="I85" s="24"/>
    </row>
    <row r="86" spans="1:9">
      <c r="A86" s="4" t="s">
        <v>130</v>
      </c>
      <c r="B86" s="4" t="s">
        <v>125</v>
      </c>
      <c r="C86" s="20">
        <v>165</v>
      </c>
      <c r="D86" s="21"/>
      <c r="E86" s="22"/>
      <c r="F86" s="23"/>
      <c r="G86" s="24">
        <f t="shared" si="6"/>
        <v>0</v>
      </c>
      <c r="H86" s="23"/>
      <c r="I86" s="24"/>
    </row>
    <row r="87" spans="1:9">
      <c r="A87" s="4" t="s">
        <v>131</v>
      </c>
      <c r="B87" s="4" t="s">
        <v>125</v>
      </c>
      <c r="C87" s="20">
        <v>165</v>
      </c>
      <c r="D87" s="21"/>
      <c r="E87" s="22"/>
      <c r="F87" s="23"/>
      <c r="G87" s="24">
        <f t="shared" si="6"/>
        <v>0</v>
      </c>
      <c r="H87" s="23"/>
      <c r="I87" s="24"/>
    </row>
    <row r="88" spans="1:9">
      <c r="A88" s="4" t="s">
        <v>132</v>
      </c>
      <c r="B88" s="4" t="s">
        <v>125</v>
      </c>
      <c r="C88" s="20"/>
      <c r="D88" s="21"/>
      <c r="E88" s="22"/>
      <c r="F88" s="23"/>
      <c r="G88" s="24">
        <f t="shared" si="6"/>
        <v>0</v>
      </c>
      <c r="H88" s="23"/>
      <c r="I88" s="24"/>
    </row>
    <row r="89" spans="1:9">
      <c r="A89" s="4" t="s">
        <v>133</v>
      </c>
      <c r="B89" s="4" t="s">
        <v>125</v>
      </c>
      <c r="C89" s="20">
        <v>168</v>
      </c>
      <c r="D89" s="21"/>
      <c r="E89" s="22"/>
      <c r="F89" s="23"/>
      <c r="G89" s="24">
        <f t="shared" si="6"/>
        <v>0</v>
      </c>
      <c r="H89" s="23"/>
      <c r="I89" s="24"/>
    </row>
    <row r="90" spans="1:9">
      <c r="A90" s="4" t="s">
        <v>134</v>
      </c>
      <c r="B90" s="4" t="s">
        <v>125</v>
      </c>
      <c r="C90" s="20">
        <v>176</v>
      </c>
      <c r="D90" s="21"/>
      <c r="E90" s="22"/>
      <c r="F90" s="23"/>
      <c r="G90" s="24">
        <f t="shared" si="6"/>
        <v>0</v>
      </c>
      <c r="H90" s="23"/>
      <c r="I90" s="24"/>
    </row>
    <row r="91" spans="1:9">
      <c r="A91" s="4" t="s">
        <v>135</v>
      </c>
      <c r="B91" s="4" t="s">
        <v>125</v>
      </c>
      <c r="C91" s="20">
        <v>176</v>
      </c>
      <c r="D91" s="21"/>
      <c r="E91" s="22"/>
      <c r="F91" s="23"/>
      <c r="G91" s="24">
        <f t="shared" si="6"/>
        <v>0</v>
      </c>
      <c r="H91" s="23"/>
      <c r="I91" s="24"/>
    </row>
    <row r="92" spans="1:9">
      <c r="A92" s="4" t="s">
        <v>136</v>
      </c>
      <c r="B92" s="4" t="s">
        <v>125</v>
      </c>
      <c r="C92" s="20">
        <v>176</v>
      </c>
      <c r="D92" s="21"/>
      <c r="E92" s="22"/>
      <c r="F92" s="23"/>
      <c r="G92" s="24">
        <f t="shared" si="6"/>
        <v>0</v>
      </c>
      <c r="H92" s="39"/>
      <c r="I92" s="24"/>
    </row>
    <row r="93" spans="1:9">
      <c r="A93" s="4" t="s">
        <v>137</v>
      </c>
      <c r="B93" s="4" t="s">
        <v>125</v>
      </c>
      <c r="C93" s="20">
        <v>179</v>
      </c>
      <c r="D93" s="21"/>
      <c r="E93" s="22"/>
      <c r="F93" s="23"/>
      <c r="G93" s="24">
        <f t="shared" si="6"/>
        <v>0</v>
      </c>
      <c r="H93" s="39"/>
      <c r="I93" s="24"/>
    </row>
    <row r="94" spans="1:9">
      <c r="A94" s="4" t="s">
        <v>138</v>
      </c>
      <c r="B94" s="4" t="s">
        <v>139</v>
      </c>
      <c r="C94" s="20">
        <v>190</v>
      </c>
      <c r="D94" s="21"/>
      <c r="E94" s="22"/>
      <c r="F94" s="23"/>
      <c r="G94" s="24">
        <f t="shared" si="6"/>
        <v>0</v>
      </c>
      <c r="H94" s="39"/>
      <c r="I94" s="24"/>
    </row>
    <row r="95" spans="1:9">
      <c r="G95" s="12">
        <f>SUM(G2:G94)</f>
        <v>0</v>
      </c>
      <c r="I95" s="12">
        <f>SUM(I2:I94)</f>
        <v>0</v>
      </c>
    </row>
    <row r="98" ht="36" customHeight="1" spans="7:7">
      <c r="G98" s="40">
        <f>G95+I95</f>
        <v>0</v>
      </c>
    </row>
  </sheetData>
  <pageMargins left="0.7" right="0.7" top="0.75" bottom="0.75" header="0.3" footer="0.7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6"/>
  <sheetViews>
    <sheetView zoomScale="115" zoomScaleNormal="115" workbookViewId="0">
      <selection activeCell="E20" sqref="E20"/>
    </sheetView>
  </sheetViews>
  <sheetFormatPr defaultColWidth="9" defaultRowHeight="16.8" outlineLevelCol="5"/>
  <cols>
    <col min="1" max="1" width="19.375" customWidth="1"/>
    <col min="2" max="2" width="11" customWidth="1"/>
  </cols>
  <sheetData>
    <row r="2" ht="17.6" spans="1:6">
      <c r="A2" s="1" t="s">
        <v>0</v>
      </c>
      <c r="B2" s="1" t="s">
        <v>1</v>
      </c>
      <c r="C2" s="2" t="s">
        <v>140</v>
      </c>
      <c r="D2" s="3" t="s">
        <v>141</v>
      </c>
      <c r="E2" s="2" t="s">
        <v>140</v>
      </c>
      <c r="F2" s="3" t="s">
        <v>141</v>
      </c>
    </row>
    <row r="3" spans="1:6">
      <c r="A3" s="4" t="s">
        <v>124</v>
      </c>
      <c r="B3" s="4" t="s">
        <v>125</v>
      </c>
      <c r="C3" s="5"/>
      <c r="D3" s="4" t="s">
        <v>142</v>
      </c>
      <c r="E3" s="4"/>
      <c r="F3" s="4" t="s">
        <v>143</v>
      </c>
    </row>
    <row r="4" spans="1:6">
      <c r="A4" s="4" t="s">
        <v>126</v>
      </c>
      <c r="B4" s="4" t="s">
        <v>125</v>
      </c>
      <c r="C4" s="5"/>
      <c r="D4" s="4" t="s">
        <v>142</v>
      </c>
      <c r="E4" s="4"/>
      <c r="F4" s="4" t="s">
        <v>143</v>
      </c>
    </row>
    <row r="5" spans="1:6">
      <c r="A5" s="4" t="s">
        <v>127</v>
      </c>
      <c r="B5" s="4" t="s">
        <v>125</v>
      </c>
      <c r="C5" s="5"/>
      <c r="D5" s="4" t="s">
        <v>142</v>
      </c>
      <c r="E5" s="4"/>
      <c r="F5" s="4" t="s">
        <v>143</v>
      </c>
    </row>
    <row r="6" spans="1:6">
      <c r="A6" s="4" t="s">
        <v>128</v>
      </c>
      <c r="B6" s="4" t="s">
        <v>125</v>
      </c>
      <c r="C6" s="5"/>
      <c r="D6" s="4" t="s">
        <v>142</v>
      </c>
      <c r="E6" s="4"/>
      <c r="F6" s="4" t="s">
        <v>143</v>
      </c>
    </row>
    <row r="7" spans="1:6">
      <c r="A7" s="4" t="s">
        <v>129</v>
      </c>
      <c r="B7" s="4" t="s">
        <v>125</v>
      </c>
      <c r="C7" s="5"/>
      <c r="D7" s="4" t="s">
        <v>142</v>
      </c>
      <c r="E7" s="4"/>
      <c r="F7" s="4" t="s">
        <v>143</v>
      </c>
    </row>
    <row r="8" spans="1:6">
      <c r="A8" s="4" t="s">
        <v>130</v>
      </c>
      <c r="B8" s="4" t="s">
        <v>125</v>
      </c>
      <c r="C8" s="5"/>
      <c r="D8" s="4" t="s">
        <v>142</v>
      </c>
      <c r="E8" s="4"/>
      <c r="F8" s="4" t="s">
        <v>143</v>
      </c>
    </row>
    <row r="9" spans="1:6">
      <c r="A9" s="4" t="s">
        <v>131</v>
      </c>
      <c r="B9" s="4" t="s">
        <v>125</v>
      </c>
      <c r="C9" s="5"/>
      <c r="D9" s="4" t="s">
        <v>142</v>
      </c>
      <c r="E9" s="4"/>
      <c r="F9" s="4" t="s">
        <v>143</v>
      </c>
    </row>
    <row r="10" spans="1:6">
      <c r="A10" s="4" t="s">
        <v>132</v>
      </c>
      <c r="B10" s="4" t="s">
        <v>125</v>
      </c>
      <c r="C10" s="5"/>
      <c r="D10" s="4" t="s">
        <v>142</v>
      </c>
      <c r="E10" s="4"/>
      <c r="F10" s="4" t="s">
        <v>143</v>
      </c>
    </row>
    <row r="11" spans="1:6">
      <c r="A11" s="4" t="s">
        <v>133</v>
      </c>
      <c r="B11" s="4" t="s">
        <v>125</v>
      </c>
      <c r="C11" s="5"/>
      <c r="D11" s="4" t="s">
        <v>142</v>
      </c>
      <c r="E11" s="4"/>
      <c r="F11" s="4" t="s">
        <v>143</v>
      </c>
    </row>
    <row r="12" spans="1:6">
      <c r="A12" s="4" t="s">
        <v>134</v>
      </c>
      <c r="B12" s="4" t="s">
        <v>125</v>
      </c>
      <c r="C12" s="5"/>
      <c r="D12" s="4" t="s">
        <v>142</v>
      </c>
      <c r="E12" s="4"/>
      <c r="F12" s="4" t="s">
        <v>143</v>
      </c>
    </row>
    <row r="13" spans="1:6">
      <c r="A13" s="4" t="s">
        <v>135</v>
      </c>
      <c r="B13" s="4" t="s">
        <v>125</v>
      </c>
      <c r="C13" s="5"/>
      <c r="D13" s="4" t="s">
        <v>142</v>
      </c>
      <c r="E13" s="4"/>
      <c r="F13" s="4" t="s">
        <v>143</v>
      </c>
    </row>
    <row r="14" spans="1:6">
      <c r="A14" s="4" t="s">
        <v>144</v>
      </c>
      <c r="B14" s="4" t="s">
        <v>125</v>
      </c>
      <c r="C14" s="5"/>
      <c r="D14" s="4" t="s">
        <v>142</v>
      </c>
      <c r="E14" s="4"/>
      <c r="F14" s="4" t="s">
        <v>143</v>
      </c>
    </row>
    <row r="15" spans="1:6">
      <c r="A15" s="4" t="s">
        <v>145</v>
      </c>
      <c r="B15" s="4" t="s">
        <v>125</v>
      </c>
      <c r="C15" s="5"/>
      <c r="D15" s="4" t="s">
        <v>142</v>
      </c>
      <c r="E15" s="4"/>
      <c r="F15" s="4" t="s">
        <v>143</v>
      </c>
    </row>
    <row r="16" spans="1:6">
      <c r="A16" s="4" t="s">
        <v>138</v>
      </c>
      <c r="B16" s="4" t="s">
        <v>139</v>
      </c>
      <c r="C16" s="5"/>
      <c r="D16" s="4" t="s">
        <v>142</v>
      </c>
      <c r="E16" s="4"/>
      <c r="F16" s="4" t="s">
        <v>143</v>
      </c>
    </row>
  </sheetData>
  <pageMargins left="0.75" right="0.75" top="1" bottom="1" header="0.5" foot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肠</vt:lpstr>
      <vt:lpstr>面食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偷偷</cp:lastModifiedBy>
  <cp:revision>0</cp:revision>
  <dcterms:created xsi:type="dcterms:W3CDTF">2025-07-04T08:12:00Z</dcterms:created>
  <dcterms:modified xsi:type="dcterms:W3CDTF">2026-03-03T11:26:18Z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34C0EBAD2B4F3E1334ECA4699F30B8A4_43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